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/>
  <xr:revisionPtr revIDLastSave="0" documentId="8_{A2C9988C-82B3-4051-B6D2-5E37D3CCA5C5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CoverPage" sheetId="4" r:id="rId1"/>
    <sheet name="Assumptions" sheetId="2" r:id="rId2"/>
    <sheet name="TAM" sheetId="3" r:id="rId3"/>
    <sheet name="SAM_SOM" sheetId="1" r:id="rId4"/>
    <sheet name="PROJECTION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H23" i="6"/>
  <c r="F23" i="6"/>
  <c r="F22" i="6"/>
  <c r="D21" i="6"/>
  <c r="E21" i="6" s="1"/>
  <c r="F21" i="6" s="1"/>
  <c r="G21" i="6" s="1"/>
  <c r="H21" i="6" s="1"/>
  <c r="I21" i="6" s="1"/>
  <c r="E22" i="6"/>
  <c r="D23" i="6"/>
  <c r="E23" i="6"/>
  <c r="C11" i="6"/>
  <c r="D22" i="6"/>
  <c r="D16" i="6"/>
  <c r="D12" i="6"/>
  <c r="D18" i="6"/>
  <c r="D27" i="6"/>
  <c r="E26" i="6"/>
  <c r="C17" i="6"/>
  <c r="D17" i="6"/>
  <c r="E17" i="6"/>
  <c r="F17" i="6" s="1"/>
  <c r="G17" i="6" s="1"/>
  <c r="H17" i="6" s="1"/>
  <c r="I17" i="6" s="1"/>
  <c r="C16" i="6"/>
  <c r="E16" i="6" s="1"/>
  <c r="F16" i="6" s="1"/>
  <c r="C23" i="6"/>
  <c r="C22" i="6"/>
  <c r="G22" i="6" s="1"/>
  <c r="H22" i="6" s="1"/>
  <c r="I22" i="6" s="1"/>
  <c r="D28" i="6" s="1"/>
  <c r="C21" i="6"/>
  <c r="C13" i="6"/>
  <c r="C12" i="6"/>
  <c r="C9" i="1"/>
  <c r="C18" i="6"/>
  <c r="E18" i="6" s="1"/>
  <c r="F18" i="6" s="1"/>
  <c r="G18" i="6" s="1"/>
  <c r="H18" i="6" s="1"/>
  <c r="I18" i="6" s="1"/>
  <c r="E27" i="6" s="1"/>
  <c r="E29" i="6" s="1"/>
  <c r="D13" i="6"/>
  <c r="E13" i="6" s="1"/>
  <c r="F13" i="6" s="1"/>
  <c r="G13" i="6" s="1"/>
  <c r="H13" i="6" s="1"/>
  <c r="I13" i="6" s="1"/>
  <c r="E12" i="6"/>
  <c r="F12" i="6"/>
  <c r="G12" i="6"/>
  <c r="H12" i="6"/>
  <c r="I12" i="6"/>
  <c r="D26" i="6" s="1"/>
  <c r="D29" i="6" s="1"/>
  <c r="E11" i="6"/>
  <c r="F11" i="6" s="1"/>
  <c r="G11" i="6" s="1"/>
  <c r="H11" i="6" s="1"/>
  <c r="I11" i="6" s="1"/>
  <c r="C26" i="6" s="1"/>
  <c r="C5" i="3"/>
  <c r="C10" i="3"/>
  <c r="C15" i="3"/>
  <c r="C10" i="1"/>
  <c r="C15" i="1"/>
  <c r="C14" i="1"/>
  <c r="C7" i="1"/>
  <c r="C6" i="1"/>
  <c r="C5" i="1"/>
  <c r="C11" i="3"/>
  <c r="C16" i="3" s="1"/>
  <c r="C4" i="3"/>
  <c r="C7" i="3" s="1"/>
  <c r="C20" i="2"/>
  <c r="C12" i="3" s="1"/>
  <c r="C17" i="3" s="1"/>
  <c r="C22" i="2"/>
  <c r="C16" i="1" s="1"/>
  <c r="C21" i="2"/>
  <c r="C23" i="2" s="1"/>
  <c r="C17" i="1" s="1"/>
  <c r="C5" i="2"/>
  <c r="G16" i="6" l="1"/>
  <c r="H16" i="6" s="1"/>
  <c r="I16" i="6" s="1"/>
  <c r="C27" i="6" s="1"/>
  <c r="C29" i="6" s="1"/>
  <c r="C6" i="3"/>
  <c r="C19" i="1"/>
  <c r="C24" i="1" s="1"/>
  <c r="C18" i="1"/>
  <c r="C8" i="1"/>
  <c r="C11" i="1" s="1"/>
  <c r="C22" i="1" s="1"/>
  <c r="C12" i="1"/>
  <c r="C23" i="1" s="1"/>
  <c r="G23" i="6" l="1"/>
  <c r="C9" i="3"/>
  <c r="C21" i="1" s="1"/>
  <c r="C14" i="3"/>
  <c r="C27" i="1" l="1"/>
  <c r="C26" i="1"/>
  <c r="C28" i="1"/>
  <c r="I23" i="6" l="1"/>
  <c r="E28" i="6" s="1"/>
  <c r="C28" i="6"/>
</calcChain>
</file>

<file path=xl/sharedStrings.xml><?xml version="1.0" encoding="utf-8"?>
<sst xmlns="http://schemas.openxmlformats.org/spreadsheetml/2006/main" count="212" uniqueCount="139">
  <si>
    <t>Tesla, Inc. — Global EV Market Sizing</t>
  </si>
  <si>
    <t>TAM · SAM · SOM Analysis | 2024–2030</t>
  </si>
  <si>
    <t>Prepared by:Aishwarya Ranjan Srivastava</t>
  </si>
  <si>
    <r>
      <rPr>
        <sz val="14"/>
        <color rgb="FFFFFFFF"/>
        <rFont val="Times New Roman"/>
      </rPr>
      <t>Date</t>
    </r>
    <r>
      <rPr>
        <sz val="14"/>
        <color rgb="FFFFFFFF"/>
        <rFont val="Aptos Narrow"/>
        <scheme val="minor"/>
      </rPr>
      <t>:</t>
    </r>
  </si>
  <si>
    <t xml:space="preserve">Data Sources: IEA · OICA · Tesla 10-K · EV-Volumes ·Statista </t>
  </si>
  <si>
    <t>Scope: This model sizes the global BEV market using a bottom-up approach.
TAM = Total global passenger car sales.
SAM = BEV segments in Tesla's operating geographies.
SOM = Tesla's realistic capture based on capacity and market share.</t>
  </si>
  <si>
    <t>#</t>
  </si>
  <si>
    <t>Variable</t>
  </si>
  <si>
    <t>Value</t>
  </si>
  <si>
    <t>Unit</t>
  </si>
  <si>
    <t>Source</t>
  </si>
  <si>
    <t>Notes</t>
  </si>
  <si>
    <t>SECTION 1 — Global Auto Market</t>
  </si>
  <si>
    <t>Global passenger cars sold</t>
  </si>
  <si>
    <t>Units/year</t>
  </si>
  <si>
    <t>OICA 2024 preliminary</t>
  </si>
  <si>
    <t>Avg. car selling price (global)</t>
  </si>
  <si>
    <t>USD/unit</t>
  </si>
  <si>
    <t>Statista</t>
  </si>
  <si>
    <t>Total global car market value</t>
  </si>
  <si>
    <t>USD</t>
  </si>
  <si>
    <t>calculations</t>
  </si>
  <si>
    <t>SECTION 2 —  EV Adoption</t>
  </si>
  <si>
    <t>Global EV sales (2024)</t>
  </si>
  <si>
    <t>Units / year</t>
  </si>
  <si>
    <t>EA Data Explorer 2025</t>
  </si>
  <si>
    <t xml:space="preserve">Global EV market share (2024)	</t>
  </si>
  <si>
    <t>% of total cars</t>
  </si>
  <si>
    <t>stored as decimal</t>
  </si>
  <si>
    <t>Avg. EV selling price (global)</t>
  </si>
  <si>
    <t>USD / unit</t>
  </si>
  <si>
    <t>IEA / EV-Volumes 2024</t>
  </si>
  <si>
    <t>SECTION 3-Tesla Specifics</t>
  </si>
  <si>
    <t>Tesla vehicles delivered (2024)</t>
  </si>
  <si>
    <t>Tesla 2024 Annual Report</t>
  </si>
  <si>
    <t>Tesla avg. selling price (2024)</t>
  </si>
  <si>
    <t>Tesla 2024 10-K (Revenue ÷ Units)</t>
  </si>
  <si>
    <t>Tesla revenue (2024)</t>
  </si>
  <si>
    <t>USD $</t>
  </si>
  <si>
    <t>SECTION 4-Geography Filter(for Sam)</t>
  </si>
  <si>
    <t>Tesla operating markets (% of global EV)</t>
  </si>
  <si>
    <t>% of global EV mkt</t>
  </si>
  <si>
    <t>IEA by country + Tesla 10-K</t>
  </si>
  <si>
    <t>Premium EV segment share of SAM</t>
  </si>
  <si>
    <t xml:space="preserve">% of SAM	</t>
  </si>
  <si>
    <t>EV-Volumes / Statista</t>
  </si>
  <si>
    <t>Tesla's strongest market</t>
  </si>
  <si>
    <t>BEV sales — North America</t>
  </si>
  <si>
    <t>IEA Data Explorer 2025</t>
  </si>
  <si>
    <t>BEV sales — Europe</t>
  </si>
  <si>
    <t>BEV sales — China</t>
  </si>
  <si>
    <t>Tesla SAM (N.America + Europe)</t>
  </si>
  <si>
    <t>Tesla SAM incl. China</t>
  </si>
  <si>
    <t>Tesla share of core sam</t>
  </si>
  <si>
    <t>% of core sam</t>
  </si>
  <si>
    <t xml:space="preserve">tesla share of full sam </t>
  </si>
  <si>
    <t>% of full sam</t>
  </si>
  <si>
    <t>TAM — Total Addressable Market</t>
  </si>
  <si>
    <t>Base Year: 2024 · Source: OICA, IEA, Statista</t>
  </si>
  <si>
    <t>Metric</t>
  </si>
  <si>
    <t>Formula</t>
  </si>
  <si>
    <t>Totals cars sold globally</t>
  </si>
  <si>
    <t>Pulled from Assumptions</t>
  </si>
  <si>
    <t>Avg. car price (global)</t>
  </si>
  <si>
    <t>TAM-Units</t>
  </si>
  <si>
    <t xml:space="preserve"> total cars sold</t>
  </si>
  <si>
    <t>TAM-Values($)</t>
  </si>
  <si>
    <t>Units × Avg price</t>
  </si>
  <si>
    <t>TAM by Region (2024)</t>
  </si>
  <si>
    <t>Global car market value</t>
  </si>
  <si>
    <t>— of which: EV market</t>
  </si>
  <si>
    <t>— of which: Premium EV</t>
  </si>
  <si>
    <t>— of which: Tesla core markets</t>
  </si>
  <si>
    <t>TAM Funnel</t>
  </si>
  <si>
    <t>Total global car market</t>
  </si>
  <si>
    <t>EV market</t>
  </si>
  <si>
    <t>Premium EV Market</t>
  </si>
  <si>
    <t>Tesla core market</t>
  </si>
  <si>
    <t>SAM &amp; SOM — Serviceable &amp; Obtainable Market</t>
  </si>
  <si>
    <t>Base Year: 2024 · Source: IEA, Tesla 10-K</t>
  </si>
  <si>
    <t>Formula logic</t>
  </si>
  <si>
    <t>SAM — Serviceable Addressable Market</t>
  </si>
  <si>
    <t>BEV sales — N. America</t>
  </si>
  <si>
    <t>SAM — Core (ex-China)</t>
  </si>
  <si>
    <t>N.Am + Europe only</t>
  </si>
  <si>
    <t>SAM — Full (incl. China)</t>
  </si>
  <si>
    <t>All Tesla markets</t>
  </si>
  <si>
    <t>Avg EV price (premium)</t>
  </si>
  <si>
    <t>SAM — Core Value ($)</t>
  </si>
  <si>
    <t>Units × price</t>
  </si>
  <si>
    <t>SAM — Full Value ($)</t>
  </si>
  <si>
    <t>SOM — Serviceable Obtainable Market</t>
  </si>
  <si>
    <t>Tesla deliveries (2024)</t>
  </si>
  <si>
    <t>Actual</t>
  </si>
  <si>
    <t>Tesla avg selling price</t>
  </si>
  <si>
    <t>Tesla share of core SAM</t>
  </si>
  <si>
    <t>%</t>
  </si>
  <si>
    <t>~51%</t>
  </si>
  <si>
    <t>Tesla share of full SAM</t>
  </si>
  <si>
    <t>~18%</t>
  </si>
  <si>
    <t>SOM — Units (actual)</t>
  </si>
  <si>
    <t>Real deliveries</t>
  </si>
  <si>
    <t>SOM-Value($)</t>
  </si>
  <si>
    <t>Deliveries × ASP</t>
  </si>
  <si>
    <t>Market Sizing Funnel — Tesla 2024</t>
  </si>
  <si>
    <t>TAM — Global car market</t>
  </si>
  <si>
    <t>Calculated</t>
  </si>
  <si>
    <t>SAM — Core BEV markets</t>
  </si>
  <si>
    <t>SAM — Full BEV markets</t>
  </si>
  <si>
    <t>SOM — Tesla actual revenue</t>
  </si>
  <si>
    <t>Conversion Ratios</t>
  </si>
  <si>
    <t>TAM to core SAM</t>
  </si>
  <si>
    <t>core SAM/TAM</t>
  </si>
  <si>
    <t>TAM to Full SAM</t>
  </si>
  <si>
    <t>Full SAM/TAM</t>
  </si>
  <si>
    <t>TAM To SOM</t>
  </si>
  <si>
    <t>SOM/TAM</t>
  </si>
  <si>
    <t>Market Size Projections: 2024–2030</t>
  </si>
  <si>
    <t>Scenarios: Bear / Base / Bull · Source: IEA, Tesla 10-K</t>
  </si>
  <si>
    <t>Scenario Growth Rates</t>
  </si>
  <si>
    <t>Metrics</t>
  </si>
  <si>
    <t xml:space="preserve">Bear </t>
  </si>
  <si>
    <t xml:space="preserve">Base </t>
  </si>
  <si>
    <t>Bull</t>
  </si>
  <si>
    <t>Global BEV market growth</t>
  </si>
  <si>
    <t>% per year</t>
  </si>
  <si>
    <t>Tesla market share change</t>
  </si>
  <si>
    <t>Avg selling price change</t>
  </si>
  <si>
    <t xml:space="preserve"> TAM Projection (Global BEV Market in Units)</t>
  </si>
  <si>
    <t>Scenario</t>
  </si>
  <si>
    <t>Bear</t>
  </si>
  <si>
    <t>Base</t>
  </si>
  <si>
    <t>Tesla Deliveries Projection</t>
  </si>
  <si>
    <t xml:space="preserve"> Tesla Revenue Projection </t>
  </si>
  <si>
    <t>2030 Forecast Summary</t>
  </si>
  <si>
    <t>Global BEV market (units)</t>
  </si>
  <si>
    <t>Tesla deliveries</t>
  </si>
  <si>
    <t>Tesla revenue</t>
  </si>
  <si>
    <t>Tesla 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</si>
</sst>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,##0.0"/>
    <numFmt numFmtId="165" formatCode="#,##0.000"/>
    <numFmt numFmtId="166" formatCode="&quot;$&quot;#,##0.00"/>
  </numFmts>
  <fonts count="22">
    <font>
      <sz val="11"/>
      <color theme="1"/>
      <name val="Aptos Narrow"/>
      <family val="2"/>
      <scheme val="minor"/>
    </font>
    <font>
      <b/>
      <sz val="28"/>
      <color rgb="FFFFFFFF"/>
      <name val="Times New Roman"/>
    </font>
    <font>
      <sz val="14"/>
      <color rgb="FFFF0000"/>
      <name val="Aptos Narrow"/>
      <scheme val="minor"/>
    </font>
    <font>
      <sz val="14"/>
      <color rgb="FFFFFFFF"/>
      <name val="Aptos Narrow"/>
      <scheme val="minor"/>
    </font>
    <font>
      <sz val="14"/>
      <color rgb="FFFFFFFF"/>
      <name val="Times New Roman"/>
    </font>
    <font>
      <sz val="14"/>
      <color rgb="FFADADAD"/>
      <name val="Times New Roman"/>
    </font>
    <font>
      <b/>
      <sz val="14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161616"/>
      <name val="Times New Roman"/>
    </font>
    <font>
      <sz val="11"/>
      <color theme="0"/>
      <name val="Aptos Narrow"/>
      <family val="2"/>
      <scheme val="minor"/>
    </font>
    <font>
      <b/>
      <sz val="16"/>
      <color theme="0"/>
      <name val="Times New Roman"/>
    </font>
    <font>
      <b/>
      <sz val="11"/>
      <color theme="1"/>
      <name val="Aptos Narrow"/>
      <family val="2"/>
      <scheme val="minor"/>
    </font>
    <font>
      <sz val="14"/>
      <color theme="1"/>
      <name val="Times New Roman"/>
    </font>
    <font>
      <sz val="14"/>
      <color theme="1"/>
      <name val="Aptos Narrow"/>
      <family val="2"/>
      <scheme val="minor"/>
    </font>
    <font>
      <sz val="14"/>
      <color rgb="FF393939"/>
      <name val="Times New Roman"/>
    </font>
    <font>
      <b/>
      <sz val="11"/>
      <color rgb="FF393939"/>
      <name val="Aptos Narrow"/>
      <scheme val="minor"/>
    </font>
    <font>
      <b/>
      <sz val="16"/>
      <color rgb="FFFFFFFF"/>
      <name val="Times New Roman"/>
    </font>
    <font>
      <b/>
      <sz val="14"/>
      <color rgb="FF000000"/>
      <name val="Times New Roman"/>
    </font>
    <font>
      <b/>
      <sz val="14"/>
      <color rgb="FFFFFFFF"/>
      <name val="Times New Roman"/>
    </font>
    <font>
      <sz val="11"/>
      <color theme="5" tint="-0.499984740745262"/>
      <name val="Aptos Narrow"/>
      <family val="2"/>
      <scheme val="minor"/>
    </font>
    <font>
      <b/>
      <sz val="14"/>
      <color theme="5" tint="-0.499984740745262"/>
      <name val="Times New Roman"/>
    </font>
    <font>
      <sz val="11"/>
      <color theme="1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7" fillId="2" borderId="0" xfId="0" applyFont="1" applyFill="1"/>
    <xf numFmtId="3" fontId="0" fillId="0" borderId="0" xfId="0" applyNumberFormat="1"/>
    <xf numFmtId="0" fontId="0" fillId="2" borderId="0" xfId="0" applyFill="1"/>
    <xf numFmtId="0" fontId="6" fillId="3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/>
    <xf numFmtId="0" fontId="7" fillId="4" borderId="0" xfId="0" applyFont="1" applyFill="1"/>
    <xf numFmtId="165" fontId="0" fillId="0" borderId="0" xfId="0" applyNumberFormat="1"/>
    <xf numFmtId="6" fontId="0" fillId="0" borderId="0" xfId="0" applyNumberFormat="1"/>
    <xf numFmtId="0" fontId="1" fillId="5" borderId="0" xfId="0" applyFont="1" applyFill="1"/>
    <xf numFmtId="0" fontId="0" fillId="5" borderId="0" xfId="0" applyFill="1"/>
    <xf numFmtId="0" fontId="2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5" fillId="5" borderId="0" xfId="0" applyFont="1" applyFill="1" applyAlignment="1">
      <alignment wrapText="1"/>
    </xf>
    <xf numFmtId="2" fontId="0" fillId="0" borderId="0" xfId="0" applyNumberFormat="1"/>
    <xf numFmtId="0" fontId="8" fillId="0" borderId="0" xfId="0" applyFont="1"/>
    <xf numFmtId="0" fontId="9" fillId="6" borderId="0" xfId="0" applyFont="1" applyFill="1"/>
    <xf numFmtId="0" fontId="10" fillId="6" borderId="0" xfId="0" applyFont="1" applyFill="1"/>
    <xf numFmtId="166" fontId="0" fillId="0" borderId="0" xfId="0" applyNumberFormat="1"/>
    <xf numFmtId="3" fontId="11" fillId="0" borderId="0" xfId="0" applyNumberFormat="1" applyFont="1"/>
    <xf numFmtId="166" fontId="11" fillId="0" borderId="0" xfId="0" applyNumberFormat="1" applyFont="1"/>
    <xf numFmtId="0" fontId="0" fillId="7" borderId="0" xfId="0" applyFill="1"/>
    <xf numFmtId="0" fontId="9" fillId="8" borderId="0" xfId="0" applyFont="1" applyFill="1"/>
    <xf numFmtId="0" fontId="10" fillId="8" borderId="0" xfId="0" applyFont="1" applyFill="1"/>
    <xf numFmtId="0" fontId="0" fillId="8" borderId="0" xfId="0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1" fillId="7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NumberFormat="1"/>
    <xf numFmtId="0" fontId="15" fillId="0" borderId="0" xfId="0" applyFont="1"/>
    <xf numFmtId="0" fontId="0" fillId="12" borderId="0" xfId="0" applyFill="1"/>
    <xf numFmtId="0" fontId="16" fillId="12" borderId="0" xfId="0" applyFont="1" applyFill="1"/>
    <xf numFmtId="0" fontId="0" fillId="13" borderId="0" xfId="0" applyFill="1"/>
    <xf numFmtId="0" fontId="18" fillId="13" borderId="0" xfId="0" applyFont="1" applyFill="1"/>
    <xf numFmtId="0" fontId="0" fillId="14" borderId="0" xfId="0" applyFill="1"/>
    <xf numFmtId="0" fontId="17" fillId="14" borderId="0" xfId="0" applyFont="1" applyFill="1"/>
    <xf numFmtId="0" fontId="19" fillId="11" borderId="0" xfId="0" applyFont="1" applyFill="1"/>
    <xf numFmtId="0" fontId="20" fillId="11" borderId="0" xfId="0" applyFont="1" applyFill="1"/>
    <xf numFmtId="0" fontId="17" fillId="15" borderId="0" xfId="0" applyFont="1" applyFill="1" applyAlignment="1">
      <alignment wrapText="1"/>
    </xf>
    <xf numFmtId="0" fontId="0" fillId="15" borderId="0" xfId="0" applyFill="1"/>
    <xf numFmtId="0" fontId="18" fillId="9" borderId="0" xfId="0" applyFont="1" applyFill="1"/>
    <xf numFmtId="0" fontId="0" fillId="0" borderId="0" xfId="0" applyFill="1"/>
    <xf numFmtId="0" fontId="2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2430-069C-444C-A020-E0572C9ECD76}">
  <sheetPr>
    <tabColor theme="9" tint="0.59999389629810485"/>
  </sheetPr>
  <dimension ref="B2:C9"/>
  <sheetViews>
    <sheetView workbookViewId="0">
      <selection activeCell="I17" sqref="I17"/>
    </sheetView>
  </sheetViews>
  <sheetFormatPr defaultRowHeight="15"/>
  <cols>
    <col min="1" max="1" width="9.140625" style="14"/>
    <col min="2" max="2" width="86.7109375" style="14" customWidth="1"/>
    <col min="3" max="16384" width="9.140625" style="14"/>
  </cols>
  <sheetData>
    <row r="2" spans="2:3" ht="34.5">
      <c r="B2" s="13" t="s">
        <v>0</v>
      </c>
    </row>
    <row r="3" spans="2:3" ht="18.75">
      <c r="B3" s="15" t="s">
        <v>1</v>
      </c>
    </row>
    <row r="5" spans="2:3" ht="18.75">
      <c r="C5" s="16" t="s">
        <v>2</v>
      </c>
    </row>
    <row r="6" spans="2:3" ht="18.75">
      <c r="B6" s="17" t="s">
        <v>3</v>
      </c>
    </row>
    <row r="7" spans="2:3" ht="18.75">
      <c r="B7" s="16" t="s">
        <v>4</v>
      </c>
    </row>
    <row r="8" spans="2:3" ht="16.5" customHeight="1"/>
    <row r="9" spans="2:3" ht="78.75" customHeight="1">
      <c r="B9" s="1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A6B6-A584-4D7A-8308-AF70630633E3}">
  <sheetPr>
    <tabColor rgb="FFC00000"/>
  </sheetPr>
  <dimension ref="A1:F24"/>
  <sheetViews>
    <sheetView topLeftCell="B1" workbookViewId="0">
      <selection activeCell="J19" sqref="J19"/>
    </sheetView>
  </sheetViews>
  <sheetFormatPr defaultRowHeight="15"/>
  <cols>
    <col min="2" max="2" width="38.7109375" customWidth="1"/>
    <col min="3" max="3" width="29.5703125" customWidth="1"/>
    <col min="4" max="4" width="25.28515625" customWidth="1"/>
    <col min="5" max="5" width="25" customWidth="1"/>
  </cols>
  <sheetData>
    <row r="1" spans="1:6" s="5" customFormat="1" ht="18.7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</row>
    <row r="2" spans="1:6" s="3" customFormat="1">
      <c r="B2" s="1" t="s">
        <v>12</v>
      </c>
    </row>
    <row r="3" spans="1:6">
      <c r="A3">
        <v>3</v>
      </c>
      <c r="B3" s="6" t="s">
        <v>13</v>
      </c>
      <c r="C3" s="7">
        <v>73500000</v>
      </c>
      <c r="D3" s="6" t="s">
        <v>14</v>
      </c>
      <c r="E3" s="6" t="s">
        <v>15</v>
      </c>
    </row>
    <row r="4" spans="1:6">
      <c r="A4">
        <v>4</v>
      </c>
      <c r="B4" s="6" t="s">
        <v>16</v>
      </c>
      <c r="C4" s="7">
        <v>36000</v>
      </c>
      <c r="D4" s="6" t="s">
        <v>17</v>
      </c>
      <c r="E4" s="6" t="s">
        <v>18</v>
      </c>
    </row>
    <row r="5" spans="1:6">
      <c r="A5">
        <v>5</v>
      </c>
      <c r="B5" s="6" t="s">
        <v>19</v>
      </c>
      <c r="C5" s="8">
        <f>C3*C4</f>
        <v>2646000000000</v>
      </c>
      <c r="D5" s="6" t="s">
        <v>20</v>
      </c>
      <c r="E5" s="6" t="s">
        <v>21</v>
      </c>
    </row>
    <row r="6" spans="1:6" s="9" customFormat="1">
      <c r="B6" s="10" t="s">
        <v>22</v>
      </c>
    </row>
    <row r="7" spans="1:6">
      <c r="A7">
        <v>7</v>
      </c>
      <c r="B7" t="s">
        <v>23</v>
      </c>
      <c r="C7" s="2">
        <v>11000000</v>
      </c>
      <c r="D7" t="s">
        <v>24</v>
      </c>
      <c r="E7" t="s">
        <v>25</v>
      </c>
    </row>
    <row r="8" spans="1:6">
      <c r="A8">
        <v>8</v>
      </c>
      <c r="B8" t="s">
        <v>26</v>
      </c>
      <c r="C8" s="11">
        <v>0.22</v>
      </c>
      <c r="D8" t="s">
        <v>27</v>
      </c>
      <c r="E8" t="s">
        <v>25</v>
      </c>
      <c r="F8" t="s">
        <v>28</v>
      </c>
    </row>
    <row r="9" spans="1:6">
      <c r="A9">
        <v>9</v>
      </c>
      <c r="B9" t="s">
        <v>29</v>
      </c>
      <c r="C9">
        <v>43000</v>
      </c>
      <c r="D9" t="s">
        <v>30</v>
      </c>
      <c r="E9" t="s">
        <v>31</v>
      </c>
    </row>
    <row r="10" spans="1:6" s="9" customFormat="1">
      <c r="B10" s="10" t="s">
        <v>32</v>
      </c>
    </row>
    <row r="11" spans="1:6">
      <c r="A11">
        <v>11</v>
      </c>
      <c r="B11" t="s">
        <v>33</v>
      </c>
      <c r="C11" s="2">
        <v>1789226</v>
      </c>
      <c r="D11" t="s">
        <v>24</v>
      </c>
      <c r="E11" t="s">
        <v>34</v>
      </c>
    </row>
    <row r="12" spans="1:6">
      <c r="A12">
        <v>12</v>
      </c>
      <c r="B12" t="s">
        <v>35</v>
      </c>
      <c r="C12" s="2">
        <v>42000</v>
      </c>
      <c r="D12" t="s">
        <v>30</v>
      </c>
      <c r="E12" t="s">
        <v>36</v>
      </c>
    </row>
    <row r="13" spans="1:6">
      <c r="A13">
        <v>13</v>
      </c>
      <c r="B13" t="s">
        <v>37</v>
      </c>
      <c r="C13" s="12">
        <v>97690000000</v>
      </c>
      <c r="D13" t="s">
        <v>38</v>
      </c>
      <c r="E13" t="s">
        <v>34</v>
      </c>
    </row>
    <row r="14" spans="1:6" s="9" customFormat="1">
      <c r="B14" s="10" t="s">
        <v>39</v>
      </c>
    </row>
    <row r="15" spans="1:6">
      <c r="A15">
        <v>15</v>
      </c>
      <c r="B15" t="s">
        <v>40</v>
      </c>
      <c r="C15">
        <v>0.72</v>
      </c>
      <c r="D15" t="s">
        <v>41</v>
      </c>
      <c r="E15" t="s">
        <v>42</v>
      </c>
    </row>
    <row r="16" spans="1:6">
      <c r="A16">
        <v>16</v>
      </c>
      <c r="B16" t="s">
        <v>43</v>
      </c>
      <c r="C16">
        <v>0.35</v>
      </c>
      <c r="D16" t="s">
        <v>44</v>
      </c>
      <c r="E16" t="s">
        <v>45</v>
      </c>
      <c r="F16" t="s">
        <v>46</v>
      </c>
    </row>
    <row r="17" spans="1:5">
      <c r="A17">
        <v>17</v>
      </c>
      <c r="B17" t="s">
        <v>47</v>
      </c>
      <c r="C17" s="2">
        <v>1300000</v>
      </c>
      <c r="D17" t="s">
        <v>24</v>
      </c>
      <c r="E17" t="s">
        <v>48</v>
      </c>
    </row>
    <row r="18" spans="1:5">
      <c r="A18">
        <v>18</v>
      </c>
      <c r="B18" t="s">
        <v>49</v>
      </c>
      <c r="C18" s="2">
        <v>2200000</v>
      </c>
      <c r="D18" t="s">
        <v>24</v>
      </c>
      <c r="E18" t="s">
        <v>48</v>
      </c>
    </row>
    <row r="19" spans="1:5">
      <c r="A19">
        <v>19</v>
      </c>
      <c r="B19" t="s">
        <v>50</v>
      </c>
      <c r="C19" s="2">
        <v>6400000</v>
      </c>
      <c r="D19" t="s">
        <v>24</v>
      </c>
      <c r="E19" t="s">
        <v>48</v>
      </c>
    </row>
    <row r="20" spans="1:5">
      <c r="A20">
        <v>20</v>
      </c>
      <c r="B20" t="s">
        <v>51</v>
      </c>
      <c r="C20" s="2">
        <f>C17+C18</f>
        <v>3500000</v>
      </c>
      <c r="D20" t="s">
        <v>24</v>
      </c>
      <c r="E20" t="s">
        <v>48</v>
      </c>
    </row>
    <row r="21" spans="1:5">
      <c r="A21">
        <v>21</v>
      </c>
      <c r="B21" t="s">
        <v>52</v>
      </c>
      <c r="C21" s="2">
        <f>C17+C18+C19</f>
        <v>9900000</v>
      </c>
      <c r="D21" t="s">
        <v>24</v>
      </c>
      <c r="E21" t="s">
        <v>48</v>
      </c>
    </row>
    <row r="22" spans="1:5">
      <c r="A22">
        <v>22</v>
      </c>
      <c r="B22" t="s">
        <v>53</v>
      </c>
      <c r="C22" s="19">
        <f>C11/C20</f>
        <v>0.51120742857142853</v>
      </c>
      <c r="D22" t="s">
        <v>54</v>
      </c>
      <c r="E22" t="s">
        <v>21</v>
      </c>
    </row>
    <row r="23" spans="1:5">
      <c r="A23">
        <v>23</v>
      </c>
      <c r="B23" t="s">
        <v>55</v>
      </c>
      <c r="C23" s="19">
        <f>C11/C21</f>
        <v>0.180729898989899</v>
      </c>
      <c r="D23" t="s">
        <v>56</v>
      </c>
      <c r="E23" t="s">
        <v>21</v>
      </c>
    </row>
    <row r="24" spans="1:5">
      <c r="C2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5C1D-F8DC-4CF0-B677-F1FB56D407F0}">
  <sheetPr>
    <tabColor rgb="FF00B050"/>
  </sheetPr>
  <dimension ref="A1:F17"/>
  <sheetViews>
    <sheetView workbookViewId="0">
      <selection sqref="A1:H19"/>
    </sheetView>
  </sheetViews>
  <sheetFormatPr defaultRowHeight="15"/>
  <cols>
    <col min="2" max="2" width="23" customWidth="1"/>
    <col min="3" max="3" width="23.140625" customWidth="1"/>
  </cols>
  <sheetData>
    <row r="1" spans="1:6" ht="20.25">
      <c r="A1" s="21"/>
      <c r="B1" s="22" t="s">
        <v>57</v>
      </c>
      <c r="C1" s="21"/>
      <c r="D1" s="21"/>
      <c r="E1" s="21"/>
      <c r="F1" s="21"/>
    </row>
    <row r="2" spans="1:6">
      <c r="B2" s="20" t="s">
        <v>58</v>
      </c>
    </row>
    <row r="3" spans="1:6">
      <c r="A3" s="9" t="s">
        <v>6</v>
      </c>
      <c r="B3" s="9" t="s">
        <v>59</v>
      </c>
      <c r="C3" s="9" t="s">
        <v>8</v>
      </c>
      <c r="D3" s="9" t="s">
        <v>9</v>
      </c>
      <c r="E3" s="9" t="s">
        <v>60</v>
      </c>
      <c r="F3" s="9"/>
    </row>
    <row r="4" spans="1:6">
      <c r="B4" t="s">
        <v>61</v>
      </c>
      <c r="C4" s="2">
        <f>Assumptions!C3</f>
        <v>73500000</v>
      </c>
      <c r="D4" t="s">
        <v>14</v>
      </c>
      <c r="E4" t="s">
        <v>62</v>
      </c>
    </row>
    <row r="5" spans="1:6">
      <c r="B5" t="s">
        <v>63</v>
      </c>
      <c r="C5" s="2">
        <f>Assumptions!C4</f>
        <v>36000</v>
      </c>
      <c r="D5" t="s">
        <v>17</v>
      </c>
      <c r="E5" t="s">
        <v>62</v>
      </c>
    </row>
    <row r="6" spans="1:6">
      <c r="B6" t="s">
        <v>64</v>
      </c>
      <c r="C6" s="24">
        <f>C4</f>
        <v>73500000</v>
      </c>
      <c r="D6" t="s">
        <v>14</v>
      </c>
      <c r="E6" t="s">
        <v>65</v>
      </c>
    </row>
    <row r="7" spans="1:6">
      <c r="B7" t="s">
        <v>66</v>
      </c>
      <c r="C7" s="25">
        <f>C4*C5</f>
        <v>2646000000000</v>
      </c>
      <c r="D7" t="s">
        <v>20</v>
      </c>
      <c r="E7" t="s">
        <v>67</v>
      </c>
    </row>
    <row r="8" spans="1:6">
      <c r="A8" s="9"/>
      <c r="B8" s="10" t="s">
        <v>68</v>
      </c>
      <c r="C8" s="9"/>
      <c r="D8" s="9"/>
      <c r="E8" s="9"/>
      <c r="F8" s="9"/>
    </row>
    <row r="9" spans="1:6">
      <c r="B9" t="s">
        <v>69</v>
      </c>
      <c r="C9" s="23">
        <f>C7</f>
        <v>2646000000000</v>
      </c>
    </row>
    <row r="10" spans="1:6">
      <c r="B10" t="s">
        <v>70</v>
      </c>
      <c r="C10" s="23">
        <f>Assumptions!C7*Assumptions!C9</f>
        <v>473000000000</v>
      </c>
    </row>
    <row r="11" spans="1:6">
      <c r="B11" t="s">
        <v>71</v>
      </c>
      <c r="C11" s="23">
        <f>C10*Assumptions!C16</f>
        <v>165550000000</v>
      </c>
    </row>
    <row r="12" spans="1:6">
      <c r="B12" t="s">
        <v>72</v>
      </c>
      <c r="C12" s="23">
        <f>Assumptions!C20*Assumptions!C9</f>
        <v>150500000000</v>
      </c>
    </row>
    <row r="13" spans="1:6">
      <c r="A13" s="9"/>
      <c r="B13" s="9" t="s">
        <v>73</v>
      </c>
      <c r="C13" s="9"/>
      <c r="D13" s="9"/>
      <c r="E13" s="9"/>
      <c r="F13" s="9"/>
    </row>
    <row r="14" spans="1:6">
      <c r="B14" t="s">
        <v>74</v>
      </c>
      <c r="C14" s="25">
        <f>C7</f>
        <v>2646000000000</v>
      </c>
    </row>
    <row r="15" spans="1:6">
      <c r="B15" t="s">
        <v>75</v>
      </c>
      <c r="C15" s="25">
        <f>C10</f>
        <v>473000000000</v>
      </c>
    </row>
    <row r="16" spans="1:6">
      <c r="B16" t="s">
        <v>76</v>
      </c>
      <c r="C16" s="25">
        <f>C11</f>
        <v>165550000000</v>
      </c>
    </row>
    <row r="17" spans="2:3">
      <c r="B17" t="s">
        <v>77</v>
      </c>
      <c r="C17" s="25">
        <f>C12</f>
        <v>150500000000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BE28"/>
  <sheetViews>
    <sheetView workbookViewId="0">
      <selection sqref="A1:J29"/>
    </sheetView>
  </sheetViews>
  <sheetFormatPr defaultRowHeight="15"/>
  <cols>
    <col min="2" max="2" width="26.5703125" customWidth="1"/>
    <col min="3" max="3" width="21" bestFit="1" customWidth="1"/>
  </cols>
  <sheetData>
    <row r="1" spans="1:57" s="29" customFormat="1" ht="20.25">
      <c r="A1" s="27"/>
      <c r="B1" s="28" t="s">
        <v>78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</row>
    <row r="2" spans="1:57" ht="18.75">
      <c r="A2" s="31"/>
      <c r="B2" s="32" t="s">
        <v>79</v>
      </c>
      <c r="C2" s="31"/>
      <c r="D2" s="31"/>
      <c r="E2" s="31"/>
      <c r="F2" s="31"/>
    </row>
    <row r="3" spans="1:57" ht="18.75">
      <c r="A3" s="30" t="s">
        <v>6</v>
      </c>
      <c r="B3" s="30" t="s">
        <v>59</v>
      </c>
      <c r="C3" s="30" t="s">
        <v>8</v>
      </c>
      <c r="D3" s="30" t="s">
        <v>9</v>
      </c>
      <c r="E3" s="30" t="s">
        <v>80</v>
      </c>
      <c r="F3" s="30"/>
    </row>
    <row r="4" spans="1:57" s="26" customFormat="1">
      <c r="B4" s="33" t="s">
        <v>81</v>
      </c>
      <c r="C4" s="33"/>
      <c r="D4" s="33"/>
      <c r="E4" s="33"/>
    </row>
    <row r="5" spans="1:57">
      <c r="A5">
        <v>5</v>
      </c>
      <c r="B5" t="s">
        <v>82</v>
      </c>
      <c r="C5" s="2">
        <f>Assumptions!C17</f>
        <v>1300000</v>
      </c>
      <c r="D5" t="s">
        <v>14</v>
      </c>
      <c r="E5" t="s">
        <v>62</v>
      </c>
    </row>
    <row r="6" spans="1:57">
      <c r="A6">
        <v>6</v>
      </c>
      <c r="B6" t="s">
        <v>49</v>
      </c>
      <c r="C6" s="2">
        <f>Assumptions!C18</f>
        <v>2200000</v>
      </c>
      <c r="D6" t="s">
        <v>14</v>
      </c>
      <c r="E6" t="s">
        <v>62</v>
      </c>
    </row>
    <row r="7" spans="1:57">
      <c r="A7">
        <v>7</v>
      </c>
      <c r="B7" t="s">
        <v>50</v>
      </c>
      <c r="C7" s="2">
        <f>Assumptions!C19</f>
        <v>6400000</v>
      </c>
      <c r="D7" t="s">
        <v>14</v>
      </c>
      <c r="E7" t="s">
        <v>62</v>
      </c>
    </row>
    <row r="8" spans="1:57">
      <c r="A8">
        <v>8</v>
      </c>
      <c r="B8" t="s">
        <v>83</v>
      </c>
      <c r="C8" s="2">
        <f>C6+C5</f>
        <v>3500000</v>
      </c>
      <c r="D8" t="s">
        <v>14</v>
      </c>
      <c r="E8" t="s">
        <v>84</v>
      </c>
    </row>
    <row r="9" spans="1:57">
      <c r="A9">
        <v>9</v>
      </c>
      <c r="B9" t="s">
        <v>85</v>
      </c>
      <c r="C9" s="2">
        <f>C7+C8</f>
        <v>9900000</v>
      </c>
      <c r="D9" t="s">
        <v>14</v>
      </c>
      <c r="E9" t="s">
        <v>86</v>
      </c>
    </row>
    <row r="10" spans="1:57">
      <c r="A10">
        <v>10</v>
      </c>
      <c r="B10" t="s">
        <v>87</v>
      </c>
      <c r="C10">
        <f>Assumptions!C9</f>
        <v>43000</v>
      </c>
      <c r="D10" t="s">
        <v>17</v>
      </c>
      <c r="E10" s="12">
        <v>43000</v>
      </c>
    </row>
    <row r="11" spans="1:57">
      <c r="A11">
        <v>11</v>
      </c>
      <c r="B11" t="s">
        <v>88</v>
      </c>
      <c r="C11" s="23">
        <f>C8*C10</f>
        <v>150500000000</v>
      </c>
      <c r="D11" t="s">
        <v>20</v>
      </c>
      <c r="E11" t="s">
        <v>89</v>
      </c>
    </row>
    <row r="12" spans="1:57">
      <c r="A12">
        <v>12</v>
      </c>
      <c r="B12" t="s">
        <v>90</v>
      </c>
      <c r="C12" s="23">
        <f>C10*C9</f>
        <v>425700000000</v>
      </c>
      <c r="D12" t="s">
        <v>20</v>
      </c>
      <c r="E12" t="s">
        <v>89</v>
      </c>
    </row>
    <row r="13" spans="1:57" s="34" customFormat="1">
      <c r="B13" s="34" t="s">
        <v>91</v>
      </c>
    </row>
    <row r="14" spans="1:57">
      <c r="A14">
        <v>14</v>
      </c>
      <c r="B14" t="s">
        <v>92</v>
      </c>
      <c r="C14" s="2">
        <f>Assumptions!C11</f>
        <v>1789226</v>
      </c>
      <c r="D14" t="s">
        <v>14</v>
      </c>
      <c r="E14" t="s">
        <v>93</v>
      </c>
    </row>
    <row r="15" spans="1:57">
      <c r="A15">
        <v>15</v>
      </c>
      <c r="B15" t="s">
        <v>94</v>
      </c>
      <c r="C15" s="2">
        <f>Assumptions!C12</f>
        <v>42000</v>
      </c>
      <c r="D15" t="s">
        <v>17</v>
      </c>
      <c r="E15" s="12">
        <v>42000</v>
      </c>
    </row>
    <row r="16" spans="1:57">
      <c r="A16">
        <v>16</v>
      </c>
      <c r="B16" t="s">
        <v>95</v>
      </c>
      <c r="C16" s="19">
        <f>Assumptions!C22</f>
        <v>0.51120742857142853</v>
      </c>
      <c r="D16" t="s">
        <v>96</v>
      </c>
      <c r="E16" t="s">
        <v>97</v>
      </c>
    </row>
    <row r="17" spans="1:5">
      <c r="A17">
        <v>17</v>
      </c>
      <c r="B17" t="s">
        <v>98</v>
      </c>
      <c r="C17" s="19">
        <f>Assumptions!C23</f>
        <v>0.180729898989899</v>
      </c>
      <c r="D17" t="s">
        <v>96</v>
      </c>
      <c r="E17" t="s">
        <v>99</v>
      </c>
    </row>
    <row r="18" spans="1:5">
      <c r="A18">
        <v>18</v>
      </c>
      <c r="B18" t="s">
        <v>100</v>
      </c>
      <c r="C18" s="2">
        <f>C14</f>
        <v>1789226</v>
      </c>
      <c r="D18" t="s">
        <v>14</v>
      </c>
      <c r="E18" t="s">
        <v>101</v>
      </c>
    </row>
    <row r="19" spans="1:5">
      <c r="A19">
        <v>19</v>
      </c>
      <c r="B19" t="s">
        <v>102</v>
      </c>
      <c r="C19">
        <f>C14*C15</f>
        <v>75147492000</v>
      </c>
      <c r="D19" t="s">
        <v>20</v>
      </c>
      <c r="E19" t="s">
        <v>103</v>
      </c>
    </row>
    <row r="20" spans="1:5" s="35" customFormat="1">
      <c r="B20" s="35" t="s">
        <v>104</v>
      </c>
    </row>
    <row r="21" spans="1:5">
      <c r="A21">
        <v>20</v>
      </c>
      <c r="B21" t="s">
        <v>105</v>
      </c>
      <c r="C21" s="23">
        <f>TAM!C9</f>
        <v>2646000000000</v>
      </c>
      <c r="D21" t="s">
        <v>20</v>
      </c>
      <c r="E21" t="s">
        <v>106</v>
      </c>
    </row>
    <row r="22" spans="1:5">
      <c r="A22">
        <v>21</v>
      </c>
      <c r="B22" t="s">
        <v>107</v>
      </c>
      <c r="C22" s="23">
        <f>C11</f>
        <v>150500000000</v>
      </c>
      <c r="D22" t="s">
        <v>20</v>
      </c>
      <c r="E22" t="s">
        <v>106</v>
      </c>
    </row>
    <row r="23" spans="1:5">
      <c r="A23">
        <v>22</v>
      </c>
      <c r="B23" t="s">
        <v>108</v>
      </c>
      <c r="C23" s="23">
        <f>C12</f>
        <v>425700000000</v>
      </c>
      <c r="D23" t="s">
        <v>20</v>
      </c>
      <c r="E23" t="s">
        <v>106</v>
      </c>
    </row>
    <row r="24" spans="1:5">
      <c r="A24">
        <v>23</v>
      </c>
      <c r="B24" t="s">
        <v>109</v>
      </c>
      <c r="C24">
        <f>C19</f>
        <v>75147492000</v>
      </c>
      <c r="D24" t="s">
        <v>20</v>
      </c>
      <c r="E24" t="s">
        <v>106</v>
      </c>
    </row>
    <row r="25" spans="1:5" s="36" customFormat="1">
      <c r="B25" s="36" t="s">
        <v>110</v>
      </c>
    </row>
    <row r="26" spans="1:5">
      <c r="A26">
        <v>26</v>
      </c>
      <c r="B26" t="s">
        <v>111</v>
      </c>
      <c r="C26">
        <f>C22/C21</f>
        <v>5.6878306878306875E-2</v>
      </c>
      <c r="D26" t="s">
        <v>96</v>
      </c>
      <c r="E26" t="s">
        <v>112</v>
      </c>
    </row>
    <row r="27" spans="1:5">
      <c r="A27">
        <v>27</v>
      </c>
      <c r="B27" t="s">
        <v>113</v>
      </c>
      <c r="C27">
        <f>C23/C21</f>
        <v>0.16088435374149659</v>
      </c>
      <c r="D27" t="s">
        <v>96</v>
      </c>
      <c r="E27" t="s">
        <v>114</v>
      </c>
    </row>
    <row r="28" spans="1:5">
      <c r="A28">
        <v>28</v>
      </c>
      <c r="B28" t="s">
        <v>115</v>
      </c>
      <c r="C28" s="37">
        <f>C24/C21</f>
        <v>2.8400412698412699E-2</v>
      </c>
      <c r="D28" t="s">
        <v>96</v>
      </c>
      <c r="E28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631D-864C-45D3-ABE7-3617634CAE3B}">
  <dimension ref="A1:I32"/>
  <sheetViews>
    <sheetView tabSelected="1" workbookViewId="0">
      <selection activeCell="H26" sqref="H26"/>
    </sheetView>
  </sheetViews>
  <sheetFormatPr defaultRowHeight="15"/>
  <cols>
    <col min="2" max="2" width="30.5703125" customWidth="1"/>
    <col min="3" max="9" width="19.42578125" bestFit="1" customWidth="1"/>
  </cols>
  <sheetData>
    <row r="1" spans="1:9" s="39" customFormat="1" ht="20.25">
      <c r="B1" s="40" t="s">
        <v>117</v>
      </c>
    </row>
    <row r="2" spans="1:9">
      <c r="B2" s="38" t="s">
        <v>118</v>
      </c>
    </row>
    <row r="3" spans="1:9" s="41" customFormat="1" ht="18.75">
      <c r="B3" s="42" t="s">
        <v>119</v>
      </c>
    </row>
    <row r="4" spans="1:9">
      <c r="A4" t="s">
        <v>6</v>
      </c>
      <c r="B4" t="s">
        <v>120</v>
      </c>
      <c r="C4" t="s">
        <v>121</v>
      </c>
      <c r="D4" t="s">
        <v>122</v>
      </c>
      <c r="E4" t="s">
        <v>123</v>
      </c>
      <c r="F4" t="s">
        <v>9</v>
      </c>
    </row>
    <row r="5" spans="1:9">
      <c r="B5" t="s">
        <v>124</v>
      </c>
      <c r="C5">
        <v>0.15</v>
      </c>
      <c r="D5">
        <v>0.2</v>
      </c>
      <c r="E5">
        <v>0.28000000000000003</v>
      </c>
      <c r="F5" t="s">
        <v>125</v>
      </c>
    </row>
    <row r="6" spans="1:9">
      <c r="B6" t="s">
        <v>126</v>
      </c>
      <c r="C6">
        <v>-0.05</v>
      </c>
      <c r="D6">
        <v>0</v>
      </c>
      <c r="E6">
        <v>0.02</v>
      </c>
      <c r="F6" t="s">
        <v>125</v>
      </c>
    </row>
    <row r="7" spans="1:9">
      <c r="B7" t="s">
        <v>127</v>
      </c>
      <c r="C7">
        <v>-0.02</v>
      </c>
      <c r="D7">
        <v>0.01</v>
      </c>
      <c r="E7">
        <v>0.03</v>
      </c>
      <c r="F7" t="s">
        <v>125</v>
      </c>
    </row>
    <row r="9" spans="1:9" s="43" customFormat="1" ht="18.75">
      <c r="B9" s="44" t="s">
        <v>128</v>
      </c>
    </row>
    <row r="10" spans="1:9">
      <c r="B10" t="s">
        <v>129</v>
      </c>
      <c r="C10">
        <v>2024</v>
      </c>
      <c r="D10">
        <v>2025</v>
      </c>
      <c r="E10">
        <v>2026</v>
      </c>
      <c r="F10">
        <v>2027</v>
      </c>
      <c r="G10">
        <v>2028</v>
      </c>
      <c r="H10">
        <v>2029</v>
      </c>
      <c r="I10">
        <v>2030</v>
      </c>
    </row>
    <row r="11" spans="1:9">
      <c r="B11" t="s">
        <v>130</v>
      </c>
      <c r="C11" s="2">
        <f>SAM_SOM!C9</f>
        <v>9900000</v>
      </c>
      <c r="D11">
        <f>C11*(1+$C$5)</f>
        <v>11385000</v>
      </c>
      <c r="E11">
        <f t="shared" ref="E11:I11" si="0">D11*(1+$C$5)</f>
        <v>13092749.999999998</v>
      </c>
      <c r="F11">
        <f t="shared" si="0"/>
        <v>15056662.499999996</v>
      </c>
      <c r="G11">
        <f t="shared" si="0"/>
        <v>17315161.874999993</v>
      </c>
      <c r="H11">
        <f t="shared" si="0"/>
        <v>19912436.156249989</v>
      </c>
      <c r="I11">
        <f t="shared" si="0"/>
        <v>22899301.579687484</v>
      </c>
    </row>
    <row r="12" spans="1:9">
      <c r="B12" t="s">
        <v>131</v>
      </c>
      <c r="C12" s="2">
        <f>SAM_SOM!C9</f>
        <v>9900000</v>
      </c>
      <c r="D12">
        <f>C12*(1+$D$5)</f>
        <v>11880000</v>
      </c>
      <c r="E12">
        <f t="shared" ref="E12:I12" si="1">D12*(1+$D$5)</f>
        <v>14256000</v>
      </c>
      <c r="F12">
        <f t="shared" si="1"/>
        <v>17107200</v>
      </c>
      <c r="G12">
        <f t="shared" si="1"/>
        <v>20528640</v>
      </c>
      <c r="H12">
        <f t="shared" si="1"/>
        <v>24634368</v>
      </c>
      <c r="I12">
        <f t="shared" si="1"/>
        <v>29561241.599999998</v>
      </c>
    </row>
    <row r="13" spans="1:9">
      <c r="B13" t="s">
        <v>123</v>
      </c>
      <c r="C13" s="2">
        <f>SAM_SOM!C9</f>
        <v>9900000</v>
      </c>
      <c r="D13">
        <f>C13*(1+$E$5)</f>
        <v>12672000</v>
      </c>
      <c r="E13">
        <f t="shared" ref="E13:I13" si="2">D13*(1+$E$5)</f>
        <v>16220160</v>
      </c>
      <c r="F13">
        <f t="shared" si="2"/>
        <v>20761804.800000001</v>
      </c>
      <c r="G13">
        <f t="shared" si="2"/>
        <v>26575110.144000001</v>
      </c>
      <c r="H13">
        <f t="shared" si="2"/>
        <v>34016140.98432</v>
      </c>
      <c r="I13">
        <f t="shared" si="2"/>
        <v>43540660.4599296</v>
      </c>
    </row>
    <row r="14" spans="1:9" s="45" customFormat="1" ht="18.75">
      <c r="B14" s="46" t="s">
        <v>132</v>
      </c>
    </row>
    <row r="15" spans="1:9">
      <c r="B15" t="s">
        <v>129</v>
      </c>
      <c r="C15">
        <v>2024</v>
      </c>
      <c r="D15">
        <v>2025</v>
      </c>
      <c r="E15">
        <v>2026</v>
      </c>
      <c r="F15">
        <v>2027</v>
      </c>
      <c r="G15">
        <v>2028</v>
      </c>
      <c r="H15">
        <v>2029</v>
      </c>
      <c r="I15">
        <v>2030</v>
      </c>
    </row>
    <row r="16" spans="1:9">
      <c r="B16" t="s">
        <v>130</v>
      </c>
      <c r="C16" s="2">
        <f>SAM_SOM!C14</f>
        <v>1789226</v>
      </c>
      <c r="D16">
        <f>C16*(1+$C$6+$C$5)</f>
        <v>1968148.5999999999</v>
      </c>
      <c r="E16">
        <f>D16*(1+$C$6+$C$5)</f>
        <v>2164963.4599999995</v>
      </c>
      <c r="F16">
        <f>E16*(1+$C$6+$C$5)</f>
        <v>2381459.8059999989</v>
      </c>
      <c r="G16">
        <f>F16*(1+$C$6+$C$5)</f>
        <v>2619605.7865999984</v>
      </c>
      <c r="H16">
        <f>G16*(1+$C$6+$C$5)</f>
        <v>2881566.365259998</v>
      </c>
      <c r="I16">
        <f>H16*(1+$C$6+$C$5)</f>
        <v>3169723.0017859973</v>
      </c>
    </row>
    <row r="17" spans="2:9">
      <c r="B17" t="s">
        <v>131</v>
      </c>
      <c r="C17" s="2">
        <f>SAM_SOM!C14</f>
        <v>1789226</v>
      </c>
      <c r="D17">
        <f>C17*(1+$D$6+$D$5)</f>
        <v>2147071.1999999997</v>
      </c>
      <c r="E17">
        <f>D17*(1+$D$6+$D$5)</f>
        <v>2576485.4399999995</v>
      </c>
      <c r="F17">
        <f>E17*(1+$D$6+$D$5)</f>
        <v>3091782.5279999995</v>
      </c>
      <c r="G17">
        <f>F17*(1+$D$6+$D$5)</f>
        <v>3710139.0335999993</v>
      </c>
      <c r="H17">
        <f>G17*(1+$D$6+$D$5)</f>
        <v>4452166.8403199986</v>
      </c>
      <c r="I17">
        <f>H17*(1+$D$6+$D$5)</f>
        <v>5342600.2083839979</v>
      </c>
    </row>
    <row r="18" spans="2:9">
      <c r="B18" t="s">
        <v>123</v>
      </c>
      <c r="C18" s="2">
        <f>SAM_SOM!C14</f>
        <v>1789226</v>
      </c>
      <c r="D18">
        <f>C18*(1+$E$6+$E$5)</f>
        <v>2325993.8000000003</v>
      </c>
      <c r="E18">
        <f>D18*(1+$E$6+$E$5)</f>
        <v>3023791.9400000004</v>
      </c>
      <c r="F18">
        <f t="shared" ref="E18:I18" si="3">E18*(1+$E$6+$E$5)</f>
        <v>3930929.5220000008</v>
      </c>
      <c r="G18">
        <f t="shared" si="3"/>
        <v>5110208.3786000013</v>
      </c>
      <c r="H18">
        <f t="shared" si="3"/>
        <v>6643270.8921800023</v>
      </c>
      <c r="I18">
        <f t="shared" si="3"/>
        <v>8636252.1598340031</v>
      </c>
    </row>
    <row r="19" spans="2:9" s="48" customFormat="1" ht="18" customHeight="1">
      <c r="B19" s="47" t="s">
        <v>133</v>
      </c>
    </row>
    <row r="20" spans="2:9">
      <c r="B20" t="s">
        <v>129</v>
      </c>
      <c r="C20">
        <v>2024</v>
      </c>
      <c r="D20">
        <v>2025</v>
      </c>
      <c r="E20">
        <v>2026</v>
      </c>
      <c r="F20">
        <v>2027</v>
      </c>
      <c r="G20">
        <v>2028</v>
      </c>
      <c r="H20">
        <v>2029</v>
      </c>
      <c r="I20">
        <v>2030</v>
      </c>
    </row>
    <row r="21" spans="2:9">
      <c r="B21" t="s">
        <v>130</v>
      </c>
      <c r="C21" s="23">
        <f>SAM_SOM!C19</f>
        <v>75147492000</v>
      </c>
      <c r="D21" s="23">
        <f>C23*(1+$C$6+$C$5)*(1+$C$7)</f>
        <v>81008996375.999985</v>
      </c>
      <c r="E21" s="23">
        <f>D21*(1+$C$6+$C$5)*(1+$C$7)</f>
        <v>87327698093.327972</v>
      </c>
      <c r="F21" s="23">
        <f>E21*(1+$C$6+$C$5)*(1+$C$7)</f>
        <v>94139258544.607529</v>
      </c>
      <c r="G21" s="23">
        <f>F21*(1+$C$6+$C$5)*(1+$C$7)</f>
        <v>101482120711.0869</v>
      </c>
      <c r="H21" s="23">
        <f t="shared" ref="F21:I21" si="4">G21*(1+$C$6+$C$5)*(1+$C$7)</f>
        <v>109397726126.55165</v>
      </c>
      <c r="I21" s="23">
        <f t="shared" si="4"/>
        <v>117930748764.42267</v>
      </c>
    </row>
    <row r="22" spans="2:9">
      <c r="B22" t="s">
        <v>131</v>
      </c>
      <c r="C22" s="23">
        <f>SAM_SOM!C19</f>
        <v>75147492000</v>
      </c>
      <c r="D22" s="23">
        <f>C22*(1+$D$6+$D$5)*(1+$D$7)</f>
        <v>91078760304</v>
      </c>
      <c r="E22" s="23">
        <f>D22*(1+$D$6+$D$5)*(1+$D$7)</f>
        <v>110387457488.448</v>
      </c>
      <c r="F22" s="23">
        <f>E22*(1+$D$6+$D$5)*(1+$D$7)</f>
        <v>133789598475.99896</v>
      </c>
      <c r="G22" s="23">
        <f>F22*(1+$D$6+$D$5)*(1+$D$7)</f>
        <v>162152993352.91074</v>
      </c>
      <c r="H22" s="23">
        <f t="shared" ref="F22:H22" si="5">G22*(1+$D$6+$D$5)*(1+$D$7)</f>
        <v>196529427943.72781</v>
      </c>
      <c r="I22" s="23">
        <f>H22*(1+$D$6+$D$5)*(1+$D$7)</f>
        <v>238193666667.7981</v>
      </c>
    </row>
    <row r="23" spans="2:9">
      <c r="B23" t="s">
        <v>123</v>
      </c>
      <c r="C23" s="23">
        <f>SAM_SOM!C19</f>
        <v>75147492000</v>
      </c>
      <c r="D23" s="23">
        <f>C23*(1+$E$6+$E$5)*(1+$E$7)</f>
        <v>100622491788</v>
      </c>
      <c r="E23" s="23">
        <f>D23*(1+$E$6+$E$5)*(1+$E$7)</f>
        <v>134733516504.13202</v>
      </c>
      <c r="F23" s="23">
        <f>E23*(1+$E$6+$E$5)*(1+$E$7)</f>
        <v>180408178599.03281</v>
      </c>
      <c r="G23" s="23">
        <f>F23*(1+$E$6+$E$5)*(1+$E$7)</f>
        <v>241566551144.10492</v>
      </c>
      <c r="H23" s="23">
        <f>G23*(1+$E$6+$E$5)*(1+$E$7)</f>
        <v>323457611981.95654</v>
      </c>
      <c r="I23" s="23">
        <f>H23*(1+$E$6+$E$5)*(1+$E$7)</f>
        <v>433109742443.83984</v>
      </c>
    </row>
    <row r="24" spans="2:9" s="34" customFormat="1" ht="18.75">
      <c r="B24" s="49" t="s">
        <v>134</v>
      </c>
    </row>
    <row r="25" spans="2:9" s="50" customFormat="1">
      <c r="B25" s="51" t="s">
        <v>129</v>
      </c>
      <c r="C25" s="50" t="s">
        <v>121</v>
      </c>
      <c r="D25" s="50" t="s">
        <v>122</v>
      </c>
      <c r="E25" s="50" t="s">
        <v>123</v>
      </c>
    </row>
    <row r="26" spans="2:9">
      <c r="B26" t="s">
        <v>135</v>
      </c>
      <c r="C26">
        <f>I11</f>
        <v>22899301.579687484</v>
      </c>
      <c r="D26">
        <f>I12</f>
        <v>29561241.599999998</v>
      </c>
      <c r="E26">
        <f>I13</f>
        <v>43540660.4599296</v>
      </c>
    </row>
    <row r="27" spans="2:9">
      <c r="B27" t="s">
        <v>136</v>
      </c>
      <c r="C27">
        <f>I16</f>
        <v>3169723.0017859973</v>
      </c>
      <c r="D27">
        <f>I17</f>
        <v>5342600.2083839979</v>
      </c>
      <c r="E27">
        <f>I18</f>
        <v>8636252.1598340031</v>
      </c>
    </row>
    <row r="28" spans="2:9">
      <c r="B28" t="s">
        <v>137</v>
      </c>
      <c r="C28" s="23">
        <f>I21</f>
        <v>117930748764.42267</v>
      </c>
      <c r="D28" s="23">
        <f>I22</f>
        <v>238193666667.7981</v>
      </c>
      <c r="E28" s="23">
        <f>I23</f>
        <v>433109742443.83984</v>
      </c>
    </row>
    <row r="29" spans="2:9">
      <c r="B29" t="s">
        <v>138</v>
      </c>
      <c r="C29">
        <f>C27/C26</f>
        <v>0.13842007323916189</v>
      </c>
      <c r="D29">
        <f>D27/D26</f>
        <v>0.18072989898989894</v>
      </c>
      <c r="E29">
        <f t="shared" ref="D29:E29" si="6">E27/E26</f>
        <v>0.19834913087232409</v>
      </c>
    </row>
    <row r="32" spans="2:9">
      <c r="E3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2026-04-07T08:35:09Z</dcterms:created>
  <dcterms:modified xsi:type="dcterms:W3CDTF">2026-07-22T17:09:56Z</dcterms:modified>
  <cp:category/>
  <cp:contentStatus/>
</cp:coreProperties>
</file>